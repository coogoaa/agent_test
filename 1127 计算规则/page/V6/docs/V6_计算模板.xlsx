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30240" windowHeight="16060"/>
  </bookViews>
  <sheets>
    <sheet name="V6_计算模板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<sst xmlns="http://schemas.openxmlformats.org/spreadsheetml/2006/main" count="214" uniqueCount="112">
  <si>
    <t>V6 光伏储能系统计算模板</t>
  </si>
  <si>
    <t>说明: 请在Excel中打开此文件并启用公式计算</t>
  </si>
  <si>
    <t>=== 参数配置 ===</t>
  </si>
  <si>
    <t>参数名称</t>
  </si>
  <si>
    <t>值</t>
  </si>
  <si>
    <t>单位</t>
  </si>
  <si>
    <t>说明</t>
  </si>
  <si>
    <t>PV单片功率</t>
  </si>
  <si>
    <t>W</t>
  </si>
  <si>
    <t>JA Solar JAM54D40-440/LB</t>
  </si>
  <si>
    <t>年发电系数(TAS)</t>
  </si>
  <si>
    <t>kWh/kW/年</t>
  </si>
  <si>
    <t>塔斯马尼亚</t>
  </si>
  <si>
    <t>年用电量(TAS)</t>
  </si>
  <si>
    <t>kWh/年</t>
  </si>
  <si>
    <t>DOD</t>
  </si>
  <si>
    <t>-</t>
  </si>
  <si>
    <t>放电深度</t>
  </si>
  <si>
    <t>RTE</t>
  </si>
  <si>
    <t>往返效率</t>
  </si>
  <si>
    <t>总效率</t>
  </si>
  <si>
    <t>aSurplus</t>
  </si>
  <si>
    <t>A方案光伏剩余系数</t>
  </si>
  <si>
    <t>bSurplus</t>
  </si>
  <si>
    <t>B方案光伏剩余系数</t>
  </si>
  <si>
    <t>PV单价</t>
  </si>
  <si>
    <t>$/kW</t>
  </si>
  <si>
    <t>方案A线性定价</t>
  </si>
  <si>
    <t>逆变器单价</t>
  </si>
  <si>
    <t>电池单价</t>
  </si>
  <si>
    <t>$/kWh</t>
  </si>
  <si>
    <t>GST税率</t>
  </si>
  <si>
    <t>STC单价</t>
  </si>
  <si>
    <t>$</t>
  </si>
  <si>
    <t>每个STC</t>
  </si>
  <si>
    <t>区域系数(TAS)</t>
  </si>
  <si>
    <t>Deeming年数</t>
  </si>
  <si>
    <t>年</t>
  </si>
  <si>
    <t>2025-2030</t>
  </si>
  <si>
    <t>=== 输入区 ===</t>
  </si>
  <si>
    <t>项目</t>
  </si>
  <si>
    <t>PV容量</t>
  </si>
  <si>
    <t>kW</t>
  </si>
  <si>
    <t>← 请修改此值</t>
  </si>
  <si>
    <t>逆变器容量</t>
  </si>
  <si>
    <t>=== Step 1: 日均能量计算 ===</t>
  </si>
  <si>
    <t>计算项</t>
  </si>
  <si>
    <t>公式</t>
  </si>
  <si>
    <t>结果</t>
  </si>
  <si>
    <t>日均用电量</t>
  </si>
  <si>
    <t>kWh/天</t>
  </si>
  <si>
    <t>日均发电量</t>
  </si>
  <si>
    <t>=== Step 2: 逐小时计算 ===</t>
  </si>
  <si>
    <t>小时</t>
  </si>
  <si>
    <t>发电比例</t>
  </si>
  <si>
    <t>用电比例</t>
  </si>
  <si>
    <t>逐小时发电</t>
  </si>
  <si>
    <t>逐小时用电</t>
  </si>
  <si>
    <t>光伏剩余</t>
  </si>
  <si>
    <t>用电缺口</t>
  </si>
  <si>
    <t>合计</t>
  </si>
  <si>
    <t>=== Step 3: 能量汇总 ===</t>
  </si>
  <si>
    <t>晚高峰用电(17-20点)</t>
  </si>
  <si>
    <t>=SUM(17:20点用电)</t>
  </si>
  <si>
    <t>kWh</t>
  </si>
  <si>
    <t>整夜用电(17-次日6点)</t>
  </si>
  <si>
    <t>=SUM(17-23点)+SUM(0-6点)</t>
  </si>
  <si>
    <t>光伏剩余总量</t>
  </si>
  <si>
    <t>=== Step 4: 电池容量计算 ===</t>
  </si>
  <si>
    <t>方案</t>
  </si>
  <si>
    <t>方案A(高端型)</t>
  </si>
  <si>
    <t>整夜用电</t>
  </si>
  <si>
    <t>0.7×光伏剩余</t>
  </si>
  <si>
    <t>=0.7×40.03</t>
  </si>
  <si>
    <t>目标能量</t>
  </si>
  <si>
    <t>=MAX(11.16</t>
  </si>
  <si>
    <t>28.02)</t>
  </si>
  <si>
    <t>电池容量(计算)</t>
  </si>
  <si>
    <t>电池容量(标准化)</t>
  </si>
  <si>
    <t>方案B(平衡型)</t>
  </si>
  <si>
    <t>晚高峰用电</t>
  </si>
  <si>
    <t>0.55×光伏剩余</t>
  </si>
  <si>
    <t>=0.55×40.03</t>
  </si>
  <si>
    <t>=MAX(6.41</t>
  </si>
  <si>
    <t>22.02)</t>
  </si>
  <si>
    <t>方案C(经济型)</t>
  </si>
  <si>
    <t>=== Step 5: 成本计算 (方案A线性定价) ===</t>
  </si>
  <si>
    <t>PV成本</t>
  </si>
  <si>
    <t>=13.2×540</t>
  </si>
  <si>
    <t>逆变器成本</t>
  </si>
  <si>
    <t>=10×280</t>
  </si>
  <si>
    <t>电池成本</t>
  </si>
  <si>
    <t>=30×865</t>
  </si>
  <si>
    <t>不含税不含补贴</t>
  </si>
  <si>
    <t>STC数量</t>
  </si>
  <si>
    <t>=13.2×1.382×5</t>
  </si>
  <si>
    <t>个</t>
  </si>
  <si>
    <t>补贴金额</t>
  </si>
  <si>
    <t>=91.21×39</t>
  </si>
  <si>
    <t>含税含补贴</t>
  </si>
  <si>
    <t>=(35878-3557)×1.1</t>
  </si>
  <si>
    <t>=25×865</t>
  </si>
  <si>
    <t>=(31553-3557)×1.1</t>
  </si>
  <si>
    <t>=9.6×865</t>
  </si>
  <si>
    <t>=(18232-3557)×1.1</t>
  </si>
  <si>
    <t>=== 结果汇总 ===</t>
  </si>
  <si>
    <t>PV容量(kW)</t>
  </si>
  <si>
    <t>逆变器(kW)</t>
  </si>
  <si>
    <t>电池(kWh)</t>
  </si>
  <si>
    <t>不含税不含补贴($)</t>
  </si>
  <si>
    <t>补贴金额($)</t>
  </si>
  <si>
    <t>含税含补贴($)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</si>
</sst>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9" fontId="0" fillId="0" borderId="0" xfId="0" applyNumberForma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18"/>
  <sheetViews>
    <sheetView tabSelected="1" zoomScaleSheetLayoutView="60" workbookViewId="0">
      <selection activeCell="A1" sqref="A1"/>
    </sheetView>
  </sheetViews>
  <sheetFormatPr defaultColWidth="10.3846153846154" defaultRowHeight="16.8" outlineLevelCol="6"/>
  <sheetData>
    <row r="1" spans="1:4">
      <c r="A1" t="s">
        <v>0</v>
      </c>
    </row>
    <row r="2" spans="1:4">
      <c r="A2" t="s">
        <v>1</v>
      </c>
    </row>
    <row r="4" spans="1:4">
      <c r="A4" t="s">
        <v>2</v>
      </c>
    </row>
    <row r="5" spans="1:4">
      <c r="A5" t="s">
        <v>3</v>
      </c>
      <c r="B5" t="s">
        <v>4</v>
      </c>
      <c r="C5" t="s">
        <v>5</v>
      </c>
      <c r="D5" t="s">
        <v>6</v>
      </c>
    </row>
    <row r="6" spans="1:4">
      <c r="A6" t="s">
        <v>7</v>
      </c>
      <c r="B6">
        <v>440</v>
      </c>
      <c r="C6" t="s">
        <v>8</v>
      </c>
      <c r="D6" t="s">
        <v>9</v>
      </c>
    </row>
    <row r="7" spans="1:4">
      <c r="A7" t="s">
        <v>10</v>
      </c>
      <c r="B7">
        <v>1277</v>
      </c>
      <c r="C7" t="s">
        <v>11</v>
      </c>
      <c r="D7" t="s">
        <v>12</v>
      </c>
    </row>
    <row r="8" spans="1:4">
      <c r="A8" t="s">
        <v>13</v>
      </c>
      <c r="B8">
        <v>10148</v>
      </c>
      <c r="C8" t="s">
        <v>14</v>
      </c>
      <c r="D8" t="s">
        <v>12</v>
      </c>
    </row>
    <row r="9" spans="1:4">
      <c r="A9" t="s">
        <v>15</v>
      </c>
      <c r="B9">
        <v>0.9</v>
      </c>
      <c r="C9" t="s">
        <v>16</v>
      </c>
      <c r="D9" t="s">
        <v>17</v>
      </c>
    </row>
    <row r="10" spans="1:4">
      <c r="A10" t="s">
        <v>18</v>
      </c>
      <c r="B10">
        <v>0.95</v>
      </c>
      <c r="C10" t="s">
        <v>16</v>
      </c>
      <c r="D10" t="s">
        <v>19</v>
      </c>
    </row>
    <row r="11" spans="1:4">
      <c r="A11" t="s">
        <v>20</v>
      </c>
      <c r="B11">
        <v>0.855</v>
      </c>
      <c r="C11" t="s">
        <v>16</v>
      </c>
      <c r="D11" t="e">
        <f>DOD×RTE</f>
        <v>#NAME?</v>
      </c>
    </row>
    <row r="12" spans="1:4">
      <c r="A12" t="s">
        <v>21</v>
      </c>
      <c r="B12">
        <v>0.7</v>
      </c>
      <c r="C12" t="s">
        <v>16</v>
      </c>
      <c r="D12" t="s">
        <v>22</v>
      </c>
    </row>
    <row r="13" spans="1:4">
      <c r="A13" t="s">
        <v>23</v>
      </c>
      <c r="B13">
        <v>0.55</v>
      </c>
      <c r="C13" t="s">
        <v>16</v>
      </c>
      <c r="D13" t="s">
        <v>24</v>
      </c>
    </row>
    <row r="14" spans="1:4">
      <c r="A14" t="s">
        <v>25</v>
      </c>
      <c r="B14">
        <v>540</v>
      </c>
      <c r="C14" t="s">
        <v>26</v>
      </c>
      <c r="D14" t="s">
        <v>27</v>
      </c>
    </row>
    <row r="15" spans="1:4">
      <c r="A15" t="s">
        <v>28</v>
      </c>
      <c r="B15">
        <v>280</v>
      </c>
      <c r="C15" t="s">
        <v>26</v>
      </c>
      <c r="D15" t="s">
        <v>27</v>
      </c>
    </row>
    <row r="16" spans="1:4">
      <c r="A16" t="s">
        <v>29</v>
      </c>
      <c r="B16">
        <v>865</v>
      </c>
      <c r="C16" t="s">
        <v>30</v>
      </c>
      <c r="D16" t="s">
        <v>27</v>
      </c>
    </row>
    <row r="17" spans="1:4">
      <c r="A17" t="s">
        <v>31</v>
      </c>
      <c r="B17">
        <v>0.1</v>
      </c>
      <c r="C17" t="s">
        <v>16</v>
      </c>
      <c r="D17" s="1">
        <v>0.1</v>
      </c>
    </row>
    <row r="18" spans="1:4">
      <c r="A18" t="s">
        <v>32</v>
      </c>
      <c r="B18">
        <v>39</v>
      </c>
      <c r="C18" t="s">
        <v>33</v>
      </c>
      <c r="D18" t="s">
        <v>34</v>
      </c>
    </row>
    <row r="19" spans="1:4">
      <c r="A19" t="s">
        <v>35</v>
      </c>
      <c r="B19">
        <v>1.382</v>
      </c>
      <c r="C19" t="s">
        <v>16</v>
      </c>
      <c r="D19" t="s">
        <v>12</v>
      </c>
    </row>
    <row r="20" spans="1:4">
      <c r="A20" t="s">
        <v>36</v>
      </c>
      <c r="B20">
        <v>5</v>
      </c>
      <c r="C20" t="s">
        <v>37</v>
      </c>
      <c r="D20" t="s">
        <v>38</v>
      </c>
    </row>
    <row r="22" spans="1:4">
      <c r="A22" t="s">
        <v>39</v>
      </c>
    </row>
    <row r="23" spans="1:4">
      <c r="A23" t="s">
        <v>40</v>
      </c>
      <c r="B23" t="s">
        <v>4</v>
      </c>
      <c r="C23" t="s">
        <v>5</v>
      </c>
    </row>
    <row r="24" spans="1:4">
      <c r="A24" t="s">
        <v>41</v>
      </c>
      <c r="B24">
        <v>13.2</v>
      </c>
      <c r="C24" t="s">
        <v>42</v>
      </c>
      <c r="D24" t="s">
        <v>43</v>
      </c>
    </row>
    <row r="25" spans="1:4">
      <c r="A25" t="s">
        <v>44</v>
      </c>
      <c r="B25">
        <v>10</v>
      </c>
      <c r="C25" t="s">
        <v>42</v>
      </c>
      <c r="D25" t="s">
        <v>43</v>
      </c>
    </row>
    <row r="27" spans="1:4">
      <c r="A27" t="s">
        <v>45</v>
      </c>
    </row>
    <row r="28" spans="1:4">
      <c r="A28" t="s">
        <v>46</v>
      </c>
      <c r="B28" t="s">
        <v>47</v>
      </c>
      <c r="C28" t="s">
        <v>48</v>
      </c>
      <c r="D28" t="s">
        <v>5</v>
      </c>
    </row>
    <row r="29" spans="1:4">
      <c r="A29" t="s">
        <v>49</v>
      </c>
      <c r="B29" t="e">
        <f>年用电量/365</f>
        <v>#NAME?</v>
      </c>
      <c r="C29">
        <v>27.8</v>
      </c>
      <c r="D29" t="s">
        <v>50</v>
      </c>
    </row>
    <row r="30" spans="1:4">
      <c r="A30" t="s">
        <v>51</v>
      </c>
      <c r="B30" t="e">
        <f>PV容量×年发电系数/365</f>
        <v>#NAME?</v>
      </c>
      <c r="C30">
        <v>46.19</v>
      </c>
      <c r="D30" t="s">
        <v>50</v>
      </c>
    </row>
    <row r="32" spans="1:4">
      <c r="A32" t="s">
        <v>52</v>
      </c>
    </row>
    <row r="33" spans="1:7">
      <c r="A33" t="s">
        <v>53</v>
      </c>
      <c r="B33" t="s">
        <v>54</v>
      </c>
      <c r="C33" t="s">
        <v>55</v>
      </c>
      <c r="D33" t="s">
        <v>56</v>
      </c>
      <c r="E33" t="s">
        <v>57</v>
      </c>
      <c r="F33" t="s">
        <v>58</v>
      </c>
      <c r="G33" t="s">
        <v>59</v>
      </c>
    </row>
    <row r="34" spans="1:7">
      <c r="A34">
        <v>0</v>
      </c>
      <c r="B34">
        <v>0</v>
      </c>
      <c r="C34">
        <v>0.0238</v>
      </c>
      <c r="D34">
        <v>0</v>
      </c>
      <c r="E34">
        <v>0.66</v>
      </c>
      <c r="F34">
        <v>0</v>
      </c>
      <c r="G34">
        <v>0.66</v>
      </c>
    </row>
    <row r="35" spans="1:7">
      <c r="A35">
        <v>1</v>
      </c>
      <c r="B35">
        <v>0</v>
      </c>
      <c r="C35">
        <v>0.0221</v>
      </c>
      <c r="D35">
        <v>0</v>
      </c>
      <c r="E35">
        <v>0.61</v>
      </c>
      <c r="F35">
        <v>0</v>
      </c>
      <c r="G35">
        <v>0.61</v>
      </c>
    </row>
    <row r="36" spans="1:7">
      <c r="A36">
        <v>2</v>
      </c>
      <c r="B36">
        <v>0</v>
      </c>
      <c r="C36">
        <v>0.0205</v>
      </c>
      <c r="D36">
        <v>0</v>
      </c>
      <c r="E36">
        <v>0.57</v>
      </c>
      <c r="F36">
        <v>0</v>
      </c>
      <c r="G36">
        <v>0.57</v>
      </c>
    </row>
    <row r="37" spans="1:7">
      <c r="A37">
        <v>3</v>
      </c>
      <c r="B37">
        <v>0</v>
      </c>
      <c r="C37">
        <v>0.0193</v>
      </c>
      <c r="D37">
        <v>0</v>
      </c>
      <c r="E37">
        <v>0.54</v>
      </c>
      <c r="F37">
        <v>0</v>
      </c>
      <c r="G37">
        <v>0.54</v>
      </c>
    </row>
    <row r="38" spans="1:7">
      <c r="A38">
        <v>4</v>
      </c>
      <c r="B38">
        <v>0</v>
      </c>
      <c r="C38">
        <v>0.0189</v>
      </c>
      <c r="D38">
        <v>0</v>
      </c>
      <c r="E38">
        <v>0.53</v>
      </c>
      <c r="F38">
        <v>0</v>
      </c>
      <c r="G38">
        <v>0.53</v>
      </c>
    </row>
    <row r="39" spans="1:7">
      <c r="A39">
        <v>5</v>
      </c>
      <c r="B39">
        <v>0</v>
      </c>
      <c r="C39">
        <v>0.0205</v>
      </c>
      <c r="D39">
        <v>0</v>
      </c>
      <c r="E39">
        <v>0.57</v>
      </c>
      <c r="F39">
        <v>0</v>
      </c>
      <c r="G39">
        <v>0.57</v>
      </c>
    </row>
    <row r="40" spans="1:7">
      <c r="A40">
        <v>6</v>
      </c>
      <c r="B40">
        <v>0.02</v>
      </c>
      <c r="C40">
        <v>0.0267</v>
      </c>
      <c r="D40">
        <v>0.92</v>
      </c>
      <c r="E40">
        <v>0.74</v>
      </c>
      <c r="F40">
        <v>0.18</v>
      </c>
      <c r="G40">
        <v>0</v>
      </c>
    </row>
    <row r="41" spans="1:7">
      <c r="A41">
        <v>7</v>
      </c>
      <c r="B41">
        <v>0.06</v>
      </c>
      <c r="C41">
        <v>0.0357</v>
      </c>
      <c r="D41">
        <v>2.77</v>
      </c>
      <c r="E41">
        <v>0.99</v>
      </c>
      <c r="F41">
        <v>1.78</v>
      </c>
      <c r="G41">
        <v>0</v>
      </c>
    </row>
    <row r="42" spans="1:7">
      <c r="A42">
        <v>8</v>
      </c>
      <c r="B42">
        <v>0.1</v>
      </c>
      <c r="C42">
        <v>0.0402</v>
      </c>
      <c r="D42">
        <v>4.62</v>
      </c>
      <c r="E42">
        <v>1.12</v>
      </c>
      <c r="F42">
        <v>3.5</v>
      </c>
      <c r="G42">
        <v>0</v>
      </c>
    </row>
    <row r="43" spans="1:7">
      <c r="A43">
        <v>9</v>
      </c>
      <c r="B43">
        <v>0.13</v>
      </c>
      <c r="C43">
        <v>0.0398</v>
      </c>
      <c r="D43">
        <v>6</v>
      </c>
      <c r="E43">
        <v>1.11</v>
      </c>
      <c r="F43">
        <v>4.9</v>
      </c>
      <c r="G43">
        <v>0</v>
      </c>
    </row>
    <row r="44" spans="1:7">
      <c r="A44">
        <v>10</v>
      </c>
      <c r="B44">
        <v>0.14</v>
      </c>
      <c r="C44">
        <v>0.039</v>
      </c>
      <c r="D44">
        <v>6.47</v>
      </c>
      <c r="E44">
        <v>1.08</v>
      </c>
      <c r="F44">
        <v>5.38</v>
      </c>
      <c r="G44">
        <v>0</v>
      </c>
    </row>
    <row r="45" spans="1:7">
      <c r="A45">
        <v>11</v>
      </c>
      <c r="B45">
        <v>0.15</v>
      </c>
      <c r="C45">
        <v>0.0398</v>
      </c>
      <c r="D45">
        <v>6.93</v>
      </c>
      <c r="E45">
        <v>1.11</v>
      </c>
      <c r="F45">
        <v>5.82</v>
      </c>
      <c r="G45">
        <v>0</v>
      </c>
    </row>
    <row r="46" spans="1:7">
      <c r="A46">
        <v>12</v>
      </c>
      <c r="B46">
        <v>0.15</v>
      </c>
      <c r="C46">
        <v>0.0414</v>
      </c>
      <c r="D46">
        <v>6.93</v>
      </c>
      <c r="E46">
        <v>1.15</v>
      </c>
      <c r="F46">
        <v>5.78</v>
      </c>
      <c r="G46">
        <v>0</v>
      </c>
    </row>
    <row r="47" spans="1:7">
      <c r="A47">
        <v>13</v>
      </c>
      <c r="B47">
        <v>0.14</v>
      </c>
      <c r="C47">
        <v>0.0422</v>
      </c>
      <c r="D47">
        <v>6.47</v>
      </c>
      <c r="E47">
        <v>1.17</v>
      </c>
      <c r="F47">
        <v>5.29</v>
      </c>
      <c r="G47">
        <v>0</v>
      </c>
    </row>
    <row r="48" spans="1:7">
      <c r="A48">
        <v>14</v>
      </c>
      <c r="B48">
        <v>0.12</v>
      </c>
      <c r="C48">
        <v>0.0426</v>
      </c>
      <c r="D48">
        <v>5.54</v>
      </c>
      <c r="E48">
        <v>1.18</v>
      </c>
      <c r="F48">
        <v>4.36</v>
      </c>
      <c r="G48">
        <v>0</v>
      </c>
    </row>
    <row r="49" spans="1:7">
      <c r="A49">
        <v>15</v>
      </c>
      <c r="B49">
        <v>0.08</v>
      </c>
      <c r="C49">
        <v>0.043</v>
      </c>
      <c r="D49">
        <v>3.7</v>
      </c>
      <c r="E49">
        <v>1.2</v>
      </c>
      <c r="F49">
        <v>2.5</v>
      </c>
      <c r="G49">
        <v>0</v>
      </c>
    </row>
    <row r="50" spans="1:7">
      <c r="A50">
        <v>16</v>
      </c>
      <c r="B50">
        <v>0.04</v>
      </c>
      <c r="C50">
        <v>0.0471</v>
      </c>
      <c r="D50">
        <v>1.85</v>
      </c>
      <c r="E50">
        <v>1.31</v>
      </c>
      <c r="F50">
        <v>0.54</v>
      </c>
      <c r="G50">
        <v>0</v>
      </c>
    </row>
    <row r="51" spans="1:7">
      <c r="A51">
        <v>17</v>
      </c>
      <c r="B51">
        <v>0.01</v>
      </c>
      <c r="C51">
        <v>0.0586</v>
      </c>
      <c r="D51">
        <v>0.46</v>
      </c>
      <c r="E51">
        <v>1.63</v>
      </c>
      <c r="F51">
        <v>0</v>
      </c>
      <c r="G51">
        <v>1.17</v>
      </c>
    </row>
    <row r="52" spans="1:7">
      <c r="A52">
        <v>18</v>
      </c>
      <c r="B52">
        <v>0</v>
      </c>
      <c r="C52">
        <v>0.0614</v>
      </c>
      <c r="D52">
        <v>0</v>
      </c>
      <c r="E52">
        <v>1.71</v>
      </c>
      <c r="F52">
        <v>0</v>
      </c>
      <c r="G52">
        <v>1.71</v>
      </c>
    </row>
    <row r="53" spans="1:7">
      <c r="A53">
        <v>19</v>
      </c>
      <c r="B53">
        <v>0</v>
      </c>
      <c r="C53">
        <v>0.0586</v>
      </c>
      <c r="D53">
        <v>0</v>
      </c>
      <c r="E53">
        <v>1.63</v>
      </c>
      <c r="F53">
        <v>0</v>
      </c>
      <c r="G53">
        <v>1.63</v>
      </c>
    </row>
    <row r="54" spans="1:7">
      <c r="A54">
        <v>20</v>
      </c>
      <c r="B54">
        <v>0</v>
      </c>
      <c r="C54">
        <v>0.052</v>
      </c>
      <c r="D54">
        <v>0</v>
      </c>
      <c r="E54">
        <v>1.45</v>
      </c>
      <c r="F54">
        <v>0</v>
      </c>
      <c r="G54">
        <v>1.45</v>
      </c>
    </row>
    <row r="55" spans="1:7">
      <c r="A55">
        <v>21</v>
      </c>
      <c r="B55">
        <v>0</v>
      </c>
      <c r="C55">
        <v>0.0455</v>
      </c>
      <c r="D55">
        <v>0</v>
      </c>
      <c r="E55">
        <v>1.27</v>
      </c>
      <c r="F55">
        <v>0</v>
      </c>
      <c r="G55">
        <v>1.27</v>
      </c>
    </row>
    <row r="56" spans="1:7">
      <c r="A56">
        <v>22</v>
      </c>
      <c r="B56">
        <v>0</v>
      </c>
      <c r="C56">
        <v>0.0373</v>
      </c>
      <c r="D56">
        <v>0</v>
      </c>
      <c r="E56">
        <v>1.04</v>
      </c>
      <c r="F56">
        <v>0</v>
      </c>
      <c r="G56">
        <v>1.04</v>
      </c>
    </row>
    <row r="57" spans="1:7">
      <c r="A57">
        <v>23</v>
      </c>
      <c r="B57">
        <v>0</v>
      </c>
      <c r="C57">
        <v>0.0295</v>
      </c>
      <c r="D57">
        <v>0</v>
      </c>
      <c r="E57">
        <v>0.82</v>
      </c>
      <c r="F57">
        <v>0</v>
      </c>
      <c r="G57">
        <v>0.82</v>
      </c>
    </row>
    <row r="58" spans="1:7">
      <c r="A58" t="s">
        <v>60</v>
      </c>
      <c r="B58">
        <v>1</v>
      </c>
      <c r="C58">
        <v>1</v>
      </c>
      <c r="D58">
        <v>46.19</v>
      </c>
      <c r="E58">
        <v>27.8</v>
      </c>
      <c r="F58">
        <v>40.03</v>
      </c>
      <c r="G58">
        <v>12.55</v>
      </c>
    </row>
    <row r="60" spans="1:7">
      <c r="A60" t="s">
        <v>61</v>
      </c>
    </row>
    <row r="61" spans="1:7">
      <c r="A61" t="s">
        <v>46</v>
      </c>
      <c r="B61" t="s">
        <v>47</v>
      </c>
      <c r="C61" t="s">
        <v>48</v>
      </c>
      <c r="D61" t="s">
        <v>5</v>
      </c>
    </row>
    <row r="62" spans="1:7">
      <c r="A62" t="s">
        <v>62</v>
      </c>
      <c r="B62" t="s">
        <v>63</v>
      </c>
      <c r="C62">
        <v>6.41</v>
      </c>
      <c r="D62" t="s">
        <v>64</v>
      </c>
    </row>
    <row r="63" spans="1:7">
      <c r="A63" t="s">
        <v>65</v>
      </c>
      <c r="B63" t="s">
        <v>66</v>
      </c>
      <c r="C63">
        <v>11.16</v>
      </c>
      <c r="D63" t="s">
        <v>64</v>
      </c>
    </row>
    <row r="64" spans="1:7">
      <c r="A64" t="s">
        <v>67</v>
      </c>
      <c r="B64" t="e">
        <f>SUM(光伏剩余列)</f>
        <v>#NAME?</v>
      </c>
      <c r="C64">
        <v>40.03</v>
      </c>
      <c r="D64" t="s">
        <v>64</v>
      </c>
    </row>
    <row r="66" spans="1:6">
      <c r="A66" t="s">
        <v>68</v>
      </c>
    </row>
    <row r="67" spans="1:6">
      <c r="A67" t="s">
        <v>69</v>
      </c>
      <c r="B67" t="s">
        <v>46</v>
      </c>
      <c r="C67" t="s">
        <v>47</v>
      </c>
      <c r="D67" t="s">
        <v>48</v>
      </c>
      <c r="E67" t="s">
        <v>5</v>
      </c>
    </row>
    <row r="68" spans="1:6">
      <c r="A68" t="s">
        <v>70</v>
      </c>
      <c r="B68" t="s">
        <v>71</v>
      </c>
      <c r="D68">
        <v>11.16</v>
      </c>
      <c r="E68" t="s">
        <v>64</v>
      </c>
    </row>
    <row r="69" spans="1:6">
      <c r="B69" t="s">
        <v>72</v>
      </c>
      <c r="C69" t="s">
        <v>73</v>
      </c>
      <c r="D69">
        <v>28.02</v>
      </c>
      <c r="E69" t="s">
        <v>64</v>
      </c>
    </row>
    <row r="70" spans="1:6">
      <c r="B70" t="s">
        <v>74</v>
      </c>
      <c r="C70" t="s">
        <v>75</v>
      </c>
      <c r="D70" t="s">
        <v>76</v>
      </c>
      <c r="E70">
        <v>28.02</v>
      </c>
      <c r="F70" t="s">
        <v>64</v>
      </c>
    </row>
    <row r="71" spans="1:6">
      <c r="B71" t="s">
        <v>77</v>
      </c>
      <c r="C71">
        <f>28.02/0.855</f>
        <v>32.7719298245614</v>
      </c>
      <c r="D71">
        <v>32.77</v>
      </c>
      <c r="E71" t="s">
        <v>64</v>
      </c>
    </row>
    <row r="72" spans="1:6">
      <c r="B72" t="s">
        <v>78</v>
      </c>
      <c r="D72">
        <v>30</v>
      </c>
      <c r="E72" t="s">
        <v>64</v>
      </c>
    </row>
    <row r="74" spans="1:6">
      <c r="A74" t="s">
        <v>79</v>
      </c>
      <c r="B74" t="s">
        <v>80</v>
      </c>
      <c r="D74">
        <v>6.41</v>
      </c>
      <c r="E74" t="s">
        <v>64</v>
      </c>
    </row>
    <row r="75" spans="1:6">
      <c r="B75" t="s">
        <v>81</v>
      </c>
      <c r="C75" t="s">
        <v>82</v>
      </c>
      <c r="D75">
        <v>22.02</v>
      </c>
      <c r="E75" t="s">
        <v>64</v>
      </c>
    </row>
    <row r="76" spans="1:6">
      <c r="B76" t="s">
        <v>74</v>
      </c>
      <c r="C76" t="s">
        <v>83</v>
      </c>
      <c r="D76" t="s">
        <v>84</v>
      </c>
      <c r="E76">
        <v>22.02</v>
      </c>
      <c r="F76" t="s">
        <v>64</v>
      </c>
    </row>
    <row r="77" spans="1:6">
      <c r="B77" t="s">
        <v>77</v>
      </c>
      <c r="C77">
        <f>22.02/0.855</f>
        <v>25.7543859649123</v>
      </c>
      <c r="D77">
        <v>25.75</v>
      </c>
      <c r="E77" t="s">
        <v>64</v>
      </c>
    </row>
    <row r="78" spans="1:6">
      <c r="B78" t="s">
        <v>78</v>
      </c>
      <c r="D78">
        <v>25</v>
      </c>
      <c r="E78" t="s">
        <v>64</v>
      </c>
    </row>
    <row r="80" spans="1:6">
      <c r="A80" t="s">
        <v>85</v>
      </c>
      <c r="B80" t="s">
        <v>80</v>
      </c>
      <c r="D80">
        <v>6.41</v>
      </c>
      <c r="E80" t="s">
        <v>64</v>
      </c>
    </row>
    <row r="81" spans="1:5">
      <c r="B81" t="s">
        <v>74</v>
      </c>
      <c r="D81">
        <v>6.41</v>
      </c>
      <c r="E81" t="s">
        <v>64</v>
      </c>
    </row>
    <row r="82" spans="1:5">
      <c r="B82" t="s">
        <v>77</v>
      </c>
      <c r="C82">
        <f>6.41/0.855</f>
        <v>7.49707602339181</v>
      </c>
      <c r="D82">
        <v>7.5</v>
      </c>
      <c r="E82" t="s">
        <v>64</v>
      </c>
    </row>
    <row r="83" spans="1:5">
      <c r="B83" t="s">
        <v>78</v>
      </c>
      <c r="D83">
        <v>9.6</v>
      </c>
      <c r="E83" t="s">
        <v>64</v>
      </c>
    </row>
    <row r="85" spans="1:5">
      <c r="A85" t="s">
        <v>86</v>
      </c>
    </row>
    <row r="86" spans="1:5">
      <c r="A86" t="s">
        <v>69</v>
      </c>
      <c r="B86" t="s">
        <v>46</v>
      </c>
      <c r="C86" t="s">
        <v>47</v>
      </c>
      <c r="D86" t="s">
        <v>48</v>
      </c>
      <c r="E86" t="s">
        <v>5</v>
      </c>
    </row>
    <row r="87" spans="1:5">
      <c r="A87" t="s">
        <v>70</v>
      </c>
      <c r="B87" t="s">
        <v>87</v>
      </c>
      <c r="C87" t="s">
        <v>88</v>
      </c>
      <c r="D87">
        <v>7128</v>
      </c>
      <c r="E87" t="s">
        <v>33</v>
      </c>
    </row>
    <row r="88" spans="1:5">
      <c r="B88" t="s">
        <v>89</v>
      </c>
      <c r="C88" t="s">
        <v>90</v>
      </c>
      <c r="D88">
        <v>2800</v>
      </c>
      <c r="E88" t="s">
        <v>33</v>
      </c>
    </row>
    <row r="89" spans="1:5">
      <c r="B89" t="s">
        <v>91</v>
      </c>
      <c r="C89" t="s">
        <v>92</v>
      </c>
      <c r="D89">
        <v>25950</v>
      </c>
      <c r="E89" t="s">
        <v>33</v>
      </c>
    </row>
    <row r="90" spans="1:5">
      <c r="B90" t="s">
        <v>93</v>
      </c>
      <c r="C90">
        <f>7128+2800+25950</f>
        <v>35878</v>
      </c>
      <c r="D90">
        <v>35878</v>
      </c>
      <c r="E90" t="s">
        <v>33</v>
      </c>
    </row>
    <row r="91" spans="1:5">
      <c r="B91" t="s">
        <v>94</v>
      </c>
      <c r="C91" t="s">
        <v>95</v>
      </c>
      <c r="D91">
        <v>91.21</v>
      </c>
      <c r="E91" t="s">
        <v>96</v>
      </c>
    </row>
    <row r="92" spans="1:5">
      <c r="B92" t="s">
        <v>97</v>
      </c>
      <c r="C92" t="s">
        <v>98</v>
      </c>
      <c r="D92">
        <v>3557</v>
      </c>
      <c r="E92" t="s">
        <v>33</v>
      </c>
    </row>
    <row r="93" spans="1:5">
      <c r="B93" t="s">
        <v>99</v>
      </c>
      <c r="C93" t="s">
        <v>100</v>
      </c>
      <c r="D93">
        <v>35553</v>
      </c>
      <c r="E93" t="s">
        <v>33</v>
      </c>
    </row>
    <row r="95" spans="1:5">
      <c r="A95" t="s">
        <v>79</v>
      </c>
      <c r="B95" t="s">
        <v>87</v>
      </c>
      <c r="C95" t="s">
        <v>88</v>
      </c>
      <c r="D95">
        <v>7128</v>
      </c>
      <c r="E95" t="s">
        <v>33</v>
      </c>
    </row>
    <row r="96" spans="1:5">
      <c r="B96" t="s">
        <v>89</v>
      </c>
      <c r="C96" t="s">
        <v>90</v>
      </c>
      <c r="D96">
        <v>2800</v>
      </c>
      <c r="E96" t="s">
        <v>33</v>
      </c>
    </row>
    <row r="97" spans="1:5">
      <c r="B97" t="s">
        <v>91</v>
      </c>
      <c r="C97" t="s">
        <v>101</v>
      </c>
      <c r="D97">
        <v>21625</v>
      </c>
      <c r="E97" t="s">
        <v>33</v>
      </c>
    </row>
    <row r="98" spans="1:5">
      <c r="B98" t="s">
        <v>93</v>
      </c>
      <c r="C98">
        <f>7128+2800+21625</f>
        <v>31553</v>
      </c>
      <c r="D98">
        <v>31553</v>
      </c>
      <c r="E98" t="s">
        <v>33</v>
      </c>
    </row>
    <row r="99" spans="1:5">
      <c r="B99" t="s">
        <v>94</v>
      </c>
      <c r="C99" t="s">
        <v>95</v>
      </c>
      <c r="D99">
        <v>91.21</v>
      </c>
      <c r="E99" t="s">
        <v>96</v>
      </c>
    </row>
    <row r="100" spans="1:5">
      <c r="B100" t="s">
        <v>97</v>
      </c>
      <c r="C100" t="s">
        <v>98</v>
      </c>
      <c r="D100">
        <v>3557</v>
      </c>
      <c r="E100" t="s">
        <v>33</v>
      </c>
    </row>
    <row r="101" spans="1:5">
      <c r="B101" t="s">
        <v>99</v>
      </c>
      <c r="C101" t="s">
        <v>102</v>
      </c>
      <c r="D101">
        <v>30796</v>
      </c>
      <c r="E101" t="s">
        <v>33</v>
      </c>
    </row>
    <row r="103" spans="1:5">
      <c r="A103" t="s">
        <v>85</v>
      </c>
      <c r="B103" t="s">
        <v>87</v>
      </c>
      <c r="C103" t="s">
        <v>88</v>
      </c>
      <c r="D103">
        <v>7128</v>
      </c>
      <c r="E103" t="s">
        <v>33</v>
      </c>
    </row>
    <row r="104" spans="1:5">
      <c r="B104" t="s">
        <v>89</v>
      </c>
      <c r="C104" t="s">
        <v>90</v>
      </c>
      <c r="D104">
        <v>2800</v>
      </c>
      <c r="E104" t="s">
        <v>33</v>
      </c>
    </row>
    <row r="105" spans="1:5">
      <c r="B105" t="s">
        <v>91</v>
      </c>
      <c r="C105" t="s">
        <v>103</v>
      </c>
      <c r="D105">
        <v>8304</v>
      </c>
      <c r="E105" t="s">
        <v>33</v>
      </c>
    </row>
    <row r="106" spans="1:5">
      <c r="B106" t="s">
        <v>93</v>
      </c>
      <c r="C106">
        <f>7128+2800+8304</f>
        <v>18232</v>
      </c>
      <c r="D106">
        <v>18232</v>
      </c>
      <c r="E106" t="s">
        <v>33</v>
      </c>
    </row>
    <row r="107" spans="1:5">
      <c r="B107" t="s">
        <v>94</v>
      </c>
      <c r="C107" t="s">
        <v>95</v>
      </c>
      <c r="D107">
        <v>91.21</v>
      </c>
      <c r="E107" t="s">
        <v>96</v>
      </c>
    </row>
    <row r="108" spans="1:5">
      <c r="B108" t="s">
        <v>97</v>
      </c>
      <c r="C108" t="s">
        <v>98</v>
      </c>
      <c r="D108">
        <v>3557</v>
      </c>
      <c r="E108" t="s">
        <v>33</v>
      </c>
    </row>
    <row r="109" spans="1:5">
      <c r="B109" t="s">
        <v>99</v>
      </c>
      <c r="C109" t="s">
        <v>104</v>
      </c>
      <c r="D109">
        <v>16143</v>
      </c>
      <c r="E109" t="s">
        <v>33</v>
      </c>
    </row>
    <row r="111" spans="1:5">
      <c r="A111" t="s">
        <v>105</v>
      </c>
    </row>
    <row r="112" spans="1:5">
      <c r="A112" t="s">
        <v>40</v>
      </c>
      <c r="B112" t="s">
        <v>70</v>
      </c>
      <c r="C112" t="s">
        <v>79</v>
      </c>
      <c r="D112" t="s">
        <v>85</v>
      </c>
    </row>
    <row r="113" spans="1:4">
      <c r="A113" t="s">
        <v>106</v>
      </c>
      <c r="B113">
        <v>13.2</v>
      </c>
      <c r="C113">
        <v>13.2</v>
      </c>
      <c r="D113">
        <v>13.2</v>
      </c>
    </row>
    <row r="114" spans="1:4">
      <c r="A114" t="s">
        <v>107</v>
      </c>
      <c r="B114">
        <v>10</v>
      </c>
      <c r="C114">
        <v>10</v>
      </c>
      <c r="D114">
        <v>10</v>
      </c>
    </row>
    <row r="115" spans="1:4">
      <c r="A115" t="s">
        <v>108</v>
      </c>
      <c r="B115">
        <v>30</v>
      </c>
      <c r="C115">
        <v>25</v>
      </c>
      <c r="D115">
        <v>9.6</v>
      </c>
    </row>
    <row r="116" spans="1:4">
      <c r="A116" t="s">
        <v>109</v>
      </c>
      <c r="B116">
        <v>35878</v>
      </c>
      <c r="C116">
        <v>31553</v>
      </c>
      <c r="D116">
        <v>18232</v>
      </c>
    </row>
    <row r="117" spans="1:4">
      <c r="A117" t="s">
        <v>110</v>
      </c>
      <c r="B117">
        <v>3557</v>
      </c>
      <c r="C117">
        <v>3557</v>
      </c>
      <c r="D117">
        <v>3557</v>
      </c>
    </row>
    <row r="118" spans="1:4">
      <c r="A118" t="s">
        <v>111</v>
      </c>
      <c r="B118">
        <v>35553</v>
      </c>
      <c r="C118">
        <v>30796</v>
      </c>
      <c r="D118">
        <v>16143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V6_计算模板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paul</cp:lastModifiedBy>
  <dcterms:created xsi:type="dcterms:W3CDTF">2026-01-05T16:55:39Z</dcterms:created>
  <dcterms:modified xsi:type="dcterms:W3CDTF">2026-01-05T16:56:00Z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7CB6380125756265A07C5B69BF0A4097_43</vt:lpwstr>
  </property>
  <property fmtid="{D5CDD505-2E9C-101B-9397-08002B2CF9AE}" pid="3" name="KSOProductBuildVer">
    <vt:lpwstr>2052-12.1.24031.24031</vt:lpwstr>
  </property>
  <property fmtid="{D5CDD505-2E9C-101B-9397-08002B2CF9AE}" pid="4" name="CalculationRule">
    <vt:i4>0</vt:i4>
  </property>
</Properties>
</file>